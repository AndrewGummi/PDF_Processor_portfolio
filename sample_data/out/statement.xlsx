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ловник" sheetId="1" state="visible" r:id="rId1"/>
    <sheet xmlns:r="http://schemas.openxmlformats.org/officeDocument/2006/relationships" name="синоніми" sheetId="2" state="visible" r:id="rId2"/>
    <sheet xmlns:r="http://schemas.openxmlformats.org/officeDocument/2006/relationships" name="Словник_підрозділи" sheetId="3" state="visible" r:id="rId3"/>
    <sheet xmlns:r="http://schemas.openxmlformats.org/officeDocument/2006/relationships" name="Ціни" sheetId="4" state="visible" r:id="rId4"/>
    <sheet xmlns:r="http://schemas.openxmlformats.org/officeDocument/2006/relationships" name="sample_report_1_text" sheetId="5" state="visible" r:id="rId5"/>
    <sheet xmlns:r="http://schemas.openxmlformats.org/officeDocument/2006/relationships" name="sample_report_2_text" sheetId="6" state="visible" r:id="rId6"/>
  </sheets>
  <definedNames>
    <definedName name="_xlnm.Print_Area" localSheetId="4">'sample_report_1_text'!$A$1:$F$57</definedName>
    <definedName name="_xlnm.Print_Area" localSheetId="5">'sample_report_2_text'!$A$1:$F$57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Підбір цін</author>
  </authors>
  <commentList>
    <comment ref="E18" authorId="0" shapeId="0">
      <text>
        <t>НЕТОЧНИЙ збіг 81% — перевір
Взято: Чоботи хромові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Найменування предмета</t>
        </is>
      </c>
      <c r="B1" t="inlineStr">
        <is>
          <t>Одиниця виміру</t>
        </is>
      </c>
      <c r="C1" t="inlineStr">
        <is>
          <t>термін служби</t>
        </is>
      </c>
    </row>
    <row r="2">
      <c r="A2" t="inlineStr">
        <is>
          <t>Казанок туристичний</t>
        </is>
      </c>
      <c r="B2" t="inlineStr">
        <is>
          <t>шт.</t>
        </is>
      </c>
    </row>
    <row r="3">
      <c r="A3" t="inlineStr">
        <is>
          <t>Мішок спальний літній</t>
        </is>
      </c>
      <c r="B3" t="inlineStr">
        <is>
          <t>шт.</t>
        </is>
      </c>
      <c r="C3" t="n">
        <v>36</v>
      </c>
    </row>
    <row r="4">
      <c r="A4" t="inlineStr">
        <is>
          <t>Килим туристичний ізоляційний</t>
        </is>
      </c>
      <c r="B4" t="inlineStr">
        <is>
          <t>шт.</t>
        </is>
      </c>
      <c r="C4" t="n">
        <v>24</v>
      </c>
    </row>
    <row r="5">
      <c r="A5" t="inlineStr">
        <is>
          <t>Рюкзак робочий великий</t>
        </is>
      </c>
      <c r="B5" t="inlineStr">
        <is>
          <t>шт.</t>
        </is>
      </c>
      <c r="C5" t="n">
        <v>36</v>
      </c>
    </row>
    <row r="6">
      <c r="A6" t="inlineStr">
        <is>
          <t>Сумка транспортна</t>
        </is>
      </c>
      <c r="B6" t="inlineStr">
        <is>
          <t>шт.</t>
        </is>
      </c>
      <c r="C6" t="n">
        <v>36</v>
      </c>
    </row>
    <row r="7">
      <c r="A7" t="inlineStr">
        <is>
          <t>Чоботи гумові утеплені</t>
        </is>
      </c>
      <c r="B7" t="inlineStr">
        <is>
          <t>пара</t>
        </is>
      </c>
      <c r="C7" t="n">
        <v>24</v>
      </c>
    </row>
    <row r="8">
      <c r="A8" t="inlineStr">
        <is>
          <t>Чоботи гумові спеціальні</t>
        </is>
      </c>
      <c r="B8" t="inlineStr">
        <is>
          <t>пара</t>
        </is>
      </c>
      <c r="C8" t="n">
        <v>24</v>
      </c>
    </row>
    <row r="9">
      <c r="A9" t="inlineStr">
        <is>
          <t>Чоботи хромові</t>
        </is>
      </c>
      <c r="B9" t="inlineStr">
        <is>
          <t>пара</t>
        </is>
      </c>
      <c r="C9" t="n">
        <v>24</v>
      </c>
    </row>
    <row r="10">
      <c r="A10" t="inlineStr">
        <is>
          <t>Окуляри захисні прозорі</t>
        </is>
      </c>
      <c r="B10" t="inlineStr">
        <is>
          <t>к-т</t>
        </is>
      </c>
    </row>
    <row r="11">
      <c r="A11" t="inlineStr">
        <is>
          <t>Окуляри світлозахисні</t>
        </is>
      </c>
      <c r="B11" t="inlineStr">
        <is>
          <t>шт.</t>
        </is>
      </c>
    </row>
    <row r="12">
      <c r="A12" t="inlineStr">
        <is>
          <t>Налокітники захисні</t>
        </is>
      </c>
      <c r="B12" t="inlineStr">
        <is>
          <t>к-т</t>
        </is>
      </c>
    </row>
    <row r="13">
      <c r="A13" t="inlineStr">
        <is>
          <t>Наколінники захисні</t>
        </is>
      </c>
      <c r="B13" t="inlineStr">
        <is>
          <t>к-т</t>
        </is>
      </c>
    </row>
    <row r="14">
      <c r="A14" t="inlineStr">
        <is>
          <t>Ремінь монтажний вид 2</t>
        </is>
      </c>
      <c r="B14" t="inlineStr">
        <is>
          <t>шт.</t>
        </is>
      </c>
    </row>
    <row r="15">
      <c r="A15" t="inlineStr">
        <is>
          <t>Чохол до каски будівельної</t>
        </is>
      </c>
      <c r="B15" t="inlineStr">
        <is>
          <t>шт.</t>
        </is>
      </c>
    </row>
    <row r="16">
      <c r="A16" t="inlineStr">
        <is>
          <t>Дощовик</t>
        </is>
      </c>
      <c r="B16" t="inlineStr">
        <is>
          <t>шт.</t>
        </is>
      </c>
      <c r="C16" t="n">
        <v>24</v>
      </c>
    </row>
    <row r="17">
      <c r="A17" t="inlineStr">
        <is>
          <t>Матрац, розмір 1850*650*60</t>
        </is>
      </c>
      <c r="B17" t="inlineStr">
        <is>
          <t>шт.</t>
        </is>
      </c>
      <c r="C17" t="n">
        <v>60</v>
      </c>
    </row>
    <row r="18">
      <c r="A18" t="inlineStr">
        <is>
          <t>Чохол інструментальний універсальний</t>
        </is>
      </c>
      <c r="B18" t="inlineStr">
        <is>
          <t>шт.</t>
        </is>
      </c>
    </row>
    <row r="19">
      <c r="A19" t="inlineStr">
        <is>
          <t>Навушники протишумові базові</t>
        </is>
      </c>
      <c r="B19" t="inlineStr">
        <is>
          <t>шт.</t>
        </is>
      </c>
      <c r="C19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Найменування</t>
        </is>
      </c>
      <c r="B1" t="inlineStr">
        <is>
          <t>Синоніми -&gt;</t>
        </is>
      </c>
    </row>
    <row r="2">
      <c r="A2" t="inlineStr">
        <is>
          <t>Окуляри захисні прозорі</t>
        </is>
      </c>
      <c r="B2" t="inlineStr">
        <is>
          <t>Окуляри захисні</t>
        </is>
      </c>
      <c r="C2" t="inlineStr">
        <is>
          <t>окуляри захисні</t>
        </is>
      </c>
    </row>
    <row r="3">
      <c r="A3" t="inlineStr">
        <is>
          <t>Матрац, розмір 1850*650*60</t>
        </is>
      </c>
      <c r="B3" t="inlineStr">
        <is>
          <t>матрац</t>
        </is>
      </c>
      <c r="C3" t="inlineStr">
        <is>
          <t>Матрац</t>
        </is>
      </c>
    </row>
    <row r="4">
      <c r="A4" t="inlineStr">
        <is>
          <t>Чохол інструментальний універсальний</t>
        </is>
      </c>
      <c r="B4" t="inlineStr">
        <is>
          <t>Чохол інструментальний</t>
        </is>
      </c>
      <c r="C4" t="inlineStr">
        <is>
          <t>чохол інструментальний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Дільниця</t>
        </is>
      </c>
    </row>
    <row r="2">
      <c r="A2" t="inlineStr">
        <is>
          <t>дільниця 1</t>
        </is>
      </c>
    </row>
    <row r="3">
      <c r="A3" t="inlineStr">
        <is>
          <t>дільниця 2</t>
        </is>
      </c>
    </row>
    <row r="4">
      <c r="A4" t="inlineStr">
        <is>
          <t>дільниця 3</t>
        </is>
      </c>
    </row>
    <row r="5">
      <c r="A5" t="inlineStr">
        <is>
          <t>склад інструменту</t>
        </is>
      </c>
    </row>
    <row r="6">
      <c r="A6" t="inlineStr">
        <is>
          <t>склад матеріалів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1:E19"/>
  <sheetViews>
    <sheetView workbookViewId="0">
      <selection activeCell="A1" sqref="A1"/>
    </sheetView>
  </sheetViews>
  <sheetFormatPr baseColWidth="8" defaultRowHeight="15"/>
  <sheetData>
    <row r="1">
      <c r="C1" t="inlineStr">
        <is>
          <t>Найменування</t>
        </is>
      </c>
      <c r="E1" t="inlineStr">
        <is>
          <t>Ціна за одиницю</t>
        </is>
      </c>
    </row>
    <row r="2">
      <c r="C2" t="inlineStr">
        <is>
          <t>Казанок туристичний</t>
        </is>
      </c>
      <c r="E2" t="n">
        <v>487.8</v>
      </c>
    </row>
    <row r="3">
      <c r="C3" t="inlineStr">
        <is>
          <t>Мішок спальний літній</t>
        </is>
      </c>
      <c r="E3" t="n">
        <v>910.92</v>
      </c>
    </row>
    <row r="4">
      <c r="C4" t="inlineStr">
        <is>
          <t>Килим туристичний ізоляційний</t>
        </is>
      </c>
      <c r="E4" t="n">
        <v>377.94</v>
      </c>
    </row>
    <row r="5">
      <c r="C5" t="inlineStr">
        <is>
          <t>Рюкзак робочий великий</t>
        </is>
      </c>
      <c r="E5" t="n">
        <v>1698</v>
      </c>
    </row>
    <row r="6">
      <c r="C6" t="inlineStr">
        <is>
          <t>Сумка транспортна</t>
        </is>
      </c>
      <c r="E6" t="n">
        <v>1662.04</v>
      </c>
    </row>
    <row r="7">
      <c r="C7" t="inlineStr">
        <is>
          <t>Чоботи гумові утеплені</t>
        </is>
      </c>
      <c r="E7" t="n">
        <v>560</v>
      </c>
    </row>
    <row r="8">
      <c r="C8" t="inlineStr">
        <is>
          <t>Чоботи гумові спеціальні</t>
        </is>
      </c>
      <c r="E8" t="n">
        <v>420</v>
      </c>
    </row>
    <row r="9">
      <c r="C9" t="inlineStr">
        <is>
          <t>Чоботи хромові</t>
        </is>
      </c>
      <c r="E9" t="n">
        <v>980</v>
      </c>
    </row>
    <row r="10">
      <c r="C10" t="inlineStr">
        <is>
          <t>Окуляри захисні прозорі</t>
        </is>
      </c>
      <c r="E10" t="n">
        <v>1566.65</v>
      </c>
    </row>
    <row r="11">
      <c r="C11" t="inlineStr">
        <is>
          <t>Окуляри світлозахисні</t>
        </is>
      </c>
      <c r="E11" t="n">
        <v>640</v>
      </c>
    </row>
    <row r="12">
      <c r="C12" t="inlineStr">
        <is>
          <t>Налокітники захисні</t>
        </is>
      </c>
      <c r="E12" t="n">
        <v>430.2</v>
      </c>
    </row>
    <row r="13">
      <c r="C13" t="inlineStr">
        <is>
          <t>Наколінники захисні</t>
        </is>
      </c>
      <c r="E13" t="n">
        <v>456.24</v>
      </c>
    </row>
    <row r="14">
      <c r="C14" t="inlineStr">
        <is>
          <t>Ремінь монтажний вид 2</t>
        </is>
      </c>
      <c r="E14" t="n">
        <v>689.7</v>
      </c>
    </row>
    <row r="15">
      <c r="C15" t="inlineStr">
        <is>
          <t>Чохол до каски будівельної</t>
        </is>
      </c>
      <c r="E15" t="n">
        <v>189.9</v>
      </c>
    </row>
    <row r="16">
      <c r="C16" t="inlineStr">
        <is>
          <t>Дощовик</t>
        </is>
      </c>
      <c r="E16" t="n">
        <v>858</v>
      </c>
    </row>
    <row r="17">
      <c r="C17" t="inlineStr">
        <is>
          <t>Матрац, розмір 1850*650*60</t>
        </is>
      </c>
      <c r="E17" t="n">
        <v>924.78</v>
      </c>
    </row>
    <row r="18">
      <c r="C18" t="inlineStr">
        <is>
          <t>Чохол інструментальний універсальний</t>
        </is>
      </c>
      <c r="E18" t="n">
        <v>621.3</v>
      </c>
    </row>
    <row r="19">
      <c r="C19" t="inlineStr">
        <is>
          <t>Навушники протишумові базові</t>
        </is>
      </c>
      <c r="E19" t="n">
        <v>2950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0" customWidth="1" min="3" max="3"/>
    <col width="9" customWidth="1" min="4" max="4"/>
    <col width="15" customWidth="1" min="5" max="5"/>
    <col width="12" customWidth="1" min="6" max="6"/>
  </cols>
  <sheetData>
    <row r="1"/>
    <row r="2"/>
    <row r="3"/>
    <row r="4"/>
    <row r="5"/>
    <row r="6"/>
    <row r="7"/>
    <row r="8">
      <c r="A8" s="1" t="inlineStr">
        <is>
          <t>ВІДОМІСТЬ № 2155</t>
        </is>
      </c>
    </row>
    <row r="9">
      <c r="A9" t="inlineStr">
        <is>
          <t>визначення залишкової вартості майна</t>
        </is>
      </c>
    </row>
    <row r="10">
      <c r="A10" t="inlineStr">
        <is>
          <t>дільниця 1</t>
        </is>
      </c>
    </row>
    <row r="11">
      <c r="A11" t="inlineStr">
        <is>
          <t>04.03.2026</t>
        </is>
      </c>
    </row>
    <row r="12">
      <c r="A12" s="2" t="inlineStr">
        <is>
          <t>№ п/п</t>
        </is>
      </c>
      <c r="B12" s="2" t="inlineStr">
        <is>
          <t>Найменування, модель, марка</t>
        </is>
      </c>
      <c r="C12" s="2" t="inlineStr">
        <is>
          <t>Одиниця виміру</t>
        </is>
      </c>
      <c r="D12" s="2" t="inlineStr">
        <is>
          <t>Кількість</t>
        </is>
      </c>
      <c r="E12" s="2" t="inlineStr">
        <is>
          <t>Ціна придбання</t>
        </is>
      </c>
      <c r="F12" s="2" t="inlineStr">
        <is>
          <t>Індекс зміни цін</t>
        </is>
      </c>
    </row>
    <row r="13"/>
    <row r="14">
      <c r="A14" s="3" t="n">
        <v>1</v>
      </c>
      <c r="B14" s="3" t="n">
        <v>2</v>
      </c>
      <c r="C14" s="3" t="n">
        <v>3</v>
      </c>
      <c r="D14" s="3" t="n">
        <v>4</v>
      </c>
      <c r="E14" s="3" t="n">
        <v>5</v>
      </c>
      <c r="F14" s="3" t="n">
        <v>6</v>
      </c>
    </row>
    <row r="15">
      <c r="A15" s="4" t="n">
        <v>1</v>
      </c>
      <c r="B15" s="4" t="inlineStr">
        <is>
          <t>Казанок туристичний 2025р.</t>
        </is>
      </c>
      <c r="C15" s="4" t="inlineStr">
        <is>
          <t>шт.</t>
        </is>
      </c>
      <c r="D15" s="4" t="n">
        <v>1</v>
      </c>
      <c r="E15" s="6" t="n">
        <v>487.8</v>
      </c>
      <c r="F15" s="4" t="n"/>
    </row>
    <row r="16">
      <c r="A16" s="4" t="n">
        <v>2</v>
      </c>
      <c r="B16" s="4" t="inlineStr">
        <is>
          <t>Мішок спальний літній 2025р.</t>
        </is>
      </c>
      <c r="C16" s="4" t="inlineStr">
        <is>
          <t>шт.</t>
        </is>
      </c>
      <c r="D16" s="4" t="n">
        <v>2</v>
      </c>
      <c r="E16" s="6" t="n">
        <v>910.92</v>
      </c>
      <c r="F16" s="4" t="n"/>
    </row>
    <row r="17">
      <c r="A17" s="4" t="n">
        <v>3</v>
      </c>
      <c r="B17" s="4" t="inlineStr">
        <is>
          <t>Окуляри захисні прозорі 2025р.</t>
        </is>
      </c>
      <c r="C17" s="4" t="inlineStr">
        <is>
          <t>к-т</t>
        </is>
      </c>
      <c r="D17" s="4" t="n">
        <v>4</v>
      </c>
      <c r="E17" s="6" t="n">
        <v>1566.65</v>
      </c>
      <c r="F17" s="4" t="n"/>
    </row>
    <row r="18">
      <c r="A18" s="4" t="n">
        <v>4</v>
      </c>
      <c r="B18" s="7" t="inlineStr">
        <is>
          <t>чоботи гумові 2025р.</t>
        </is>
      </c>
      <c r="C18" s="4" t="inlineStr">
        <is>
          <t>пари</t>
        </is>
      </c>
      <c r="D18" s="4" t="n">
        <v>4</v>
      </c>
      <c r="E18" s="7" t="n">
        <v>980</v>
      </c>
      <c r="F18" s="4" t="n"/>
    </row>
    <row r="19">
      <c r="A19" s="4" t="n">
        <v>5</v>
      </c>
      <c r="B19" s="4" t="inlineStr">
        <is>
          <t>Матрац, розмір 1850*650*60 2025р.</t>
        </is>
      </c>
      <c r="C19" s="4" t="inlineStr">
        <is>
          <t>шт</t>
        </is>
      </c>
      <c r="D19" s="4" t="n">
        <v>1</v>
      </c>
      <c r="E19" s="6" t="n">
        <v>924.78</v>
      </c>
      <c r="F19" s="4" t="n"/>
    </row>
    <row r="20">
      <c r="A20" s="4" t="n">
        <v>6</v>
      </c>
      <c r="B20" s="4" t="inlineStr">
        <is>
          <t>Чохол інструментальний універсальний 2025р.</t>
        </is>
      </c>
      <c r="C20" s="4" t="inlineStr">
        <is>
          <t>шт</t>
        </is>
      </c>
      <c r="D20" s="4" t="n">
        <v>1</v>
      </c>
      <c r="E20" s="6" t="n">
        <v>621.3</v>
      </c>
      <c r="F20" s="4" t="n"/>
    </row>
    <row r="21">
      <c r="A21" s="5" t="inlineStr">
        <is>
          <t>Всього:6 (шість) найменувань</t>
        </is>
      </c>
      <c r="M21">
        <f>SUM(M15:M20)</f>
        <v/>
      </c>
    </row>
    <row r="22"/>
    <row r="23">
      <c r="A23" t="inlineStr">
        <is>
          <t>Примітка: розрахунок проведено згідно з методикою</t>
        </is>
      </c>
    </row>
    <row r="24">
      <c r="A24" t="inlineStr">
        <is>
          <t>визначення залишкової вартості майна.</t>
        </is>
      </c>
    </row>
    <row r="25"/>
    <row r="26">
      <c r="C26" t="inlineStr">
        <is>
          <t>Голова комісії</t>
        </is>
      </c>
    </row>
    <row r="27"/>
    <row r="28">
      <c r="C28" t="inlineStr">
        <is>
          <t>Члени комісії</t>
        </is>
      </c>
    </row>
    <row r="29"/>
    <row r="30"/>
    <row r="31"/>
    <row r="32"/>
    <row r="33"/>
  </sheetData>
  <mergeCells count="1">
    <mergeCell ref="A21:B21"/>
  </mergeCells>
  <pageMargins left="0.75" right="0.75" top="1" bottom="1" header="0.5" footer="0.5"/>
  <pageSetup orientation="landscape" scale="5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0" customWidth="1" min="3" max="3"/>
    <col width="9" customWidth="1" min="4" max="4"/>
    <col width="15" customWidth="1" min="5" max="5"/>
    <col width="12" customWidth="1" min="6" max="6"/>
  </cols>
  <sheetData>
    <row r="1"/>
    <row r="2"/>
    <row r="3"/>
    <row r="4"/>
    <row r="5"/>
    <row r="6"/>
    <row r="7"/>
    <row r="8">
      <c r="A8" s="1" t="inlineStr">
        <is>
          <t>ВІДОМІСТЬ № 2156</t>
        </is>
      </c>
    </row>
    <row r="9">
      <c r="A9" t="inlineStr">
        <is>
          <t>визначення залишкової вартості майна</t>
        </is>
      </c>
    </row>
    <row r="10">
      <c r="A10" t="inlineStr">
        <is>
          <t>дільниця 3</t>
        </is>
      </c>
    </row>
    <row r="11">
      <c r="A11" t="inlineStr">
        <is>
          <t>11.03.2026</t>
        </is>
      </c>
    </row>
    <row r="12">
      <c r="A12" s="2" t="inlineStr">
        <is>
          <t>№ п/п</t>
        </is>
      </c>
      <c r="B12" s="2" t="inlineStr">
        <is>
          <t>Найменування, модель, марка</t>
        </is>
      </c>
      <c r="C12" s="2" t="inlineStr">
        <is>
          <t>Одиниця виміру</t>
        </is>
      </c>
      <c r="D12" s="2" t="inlineStr">
        <is>
          <t>Кількість</t>
        </is>
      </c>
      <c r="E12" s="2" t="inlineStr">
        <is>
          <t>Ціна придбання</t>
        </is>
      </c>
      <c r="F12" s="2" t="inlineStr">
        <is>
          <t>Індекс зміни цін</t>
        </is>
      </c>
    </row>
    <row r="13"/>
    <row r="14">
      <c r="A14" s="3" t="n">
        <v>1</v>
      </c>
      <c r="B14" s="3" t="n">
        <v>2</v>
      </c>
      <c r="C14" s="3" t="n">
        <v>3</v>
      </c>
      <c r="D14" s="3" t="n">
        <v>4</v>
      </c>
      <c r="E14" s="3" t="n">
        <v>5</v>
      </c>
      <c r="F14" s="3" t="n">
        <v>6</v>
      </c>
    </row>
    <row r="15">
      <c r="A15" s="4" t="n">
        <v>1</v>
      </c>
      <c r="B15" s="4" t="inlineStr">
        <is>
          <t>Рюкзак робочий великий 2025р.</t>
        </is>
      </c>
      <c r="C15" s="4" t="inlineStr">
        <is>
          <t>шт.</t>
        </is>
      </c>
      <c r="D15" s="4" t="n">
        <v>3</v>
      </c>
      <c r="E15" s="6" t="n">
        <v>1698</v>
      </c>
      <c r="F15" s="4" t="n"/>
    </row>
    <row r="16">
      <c r="A16" s="4" t="n">
        <v>2</v>
      </c>
      <c r="B16" s="4" t="inlineStr">
        <is>
          <t>Сумка транспортна 2025р.</t>
        </is>
      </c>
      <c r="C16" s="4" t="inlineStr">
        <is>
          <t>шт.</t>
        </is>
      </c>
      <c r="D16" s="4" t="n">
        <v>1</v>
      </c>
      <c r="E16" s="6" t="n">
        <v>1662.04</v>
      </c>
      <c r="F16" s="4" t="n"/>
    </row>
    <row r="17">
      <c r="A17" s="4" t="n">
        <v>3</v>
      </c>
      <c r="B17" s="4" t="inlineStr">
        <is>
          <t>Налокітники захисні 2025р.</t>
        </is>
      </c>
      <c r="C17" s="4" t="inlineStr">
        <is>
          <t>к-т</t>
        </is>
      </c>
      <c r="D17" s="4" t="n">
        <v>2</v>
      </c>
      <c r="E17" s="6" t="n">
        <v>430.2</v>
      </c>
      <c r="F17" s="4" t="n"/>
    </row>
    <row r="18">
      <c r="A18" s="4" t="n">
        <v>4</v>
      </c>
      <c r="B18" s="4" t="inlineStr">
        <is>
          <t>Наколінники захисні 2025р.</t>
        </is>
      </c>
      <c r="C18" s="4" t="inlineStr">
        <is>
          <t>к-т</t>
        </is>
      </c>
      <c r="D18" s="4" t="n">
        <v>2</v>
      </c>
      <c r="E18" s="6" t="n">
        <v>456.24</v>
      </c>
      <c r="F18" s="4" t="n"/>
    </row>
    <row r="19">
      <c r="A19" s="4" t="n">
        <v>5</v>
      </c>
      <c r="B19" s="4" t="inlineStr">
        <is>
          <t>Дощовик 2025р.</t>
        </is>
      </c>
      <c r="C19" s="4" t="inlineStr">
        <is>
          <t>шт.</t>
        </is>
      </c>
      <c r="D19" s="4" t="n">
        <v>2</v>
      </c>
      <c r="E19" s="6" t="n">
        <v>858</v>
      </c>
      <c r="F19" s="4" t="n"/>
    </row>
    <row r="20">
      <c r="A20" s="4" t="n">
        <v>6</v>
      </c>
      <c r="B20" s="4" t="inlineStr">
        <is>
          <t>Чохол до каски будівельної 2025р.</t>
        </is>
      </c>
      <c r="C20" s="4" t="inlineStr">
        <is>
          <t>шт.</t>
        </is>
      </c>
      <c r="D20" s="4" t="n">
        <v>3</v>
      </c>
      <c r="E20" s="6" t="n">
        <v>189.9</v>
      </c>
      <c r="F20" s="4" t="n"/>
    </row>
    <row r="21">
      <c r="A21" s="4" t="n">
        <v>7</v>
      </c>
      <c r="B21" s="4" t="inlineStr">
        <is>
          <t>Навушники протишумові базові 2025р.</t>
        </is>
      </c>
      <c r="C21" s="4" t="inlineStr">
        <is>
          <t>шт.</t>
        </is>
      </c>
      <c r="D21" s="4" t="n">
        <v>1</v>
      </c>
      <c r="E21" s="6" t="n">
        <v>2950</v>
      </c>
      <c r="F21" s="4" t="n"/>
    </row>
    <row r="22">
      <c r="A22" s="5" t="inlineStr">
        <is>
          <t>Всього:7 (сім) найменувань</t>
        </is>
      </c>
      <c r="M22">
        <f>SUM(M15:M21)</f>
        <v/>
      </c>
    </row>
    <row r="23"/>
    <row r="24">
      <c r="A24" t="inlineStr">
        <is>
          <t>Примітка: розрахунок проведено згідно з методикою</t>
        </is>
      </c>
    </row>
    <row r="25">
      <c r="A25" t="inlineStr">
        <is>
          <t>визначення залишкової вартості майна.</t>
        </is>
      </c>
    </row>
    <row r="26"/>
    <row r="27">
      <c r="C27" t="inlineStr">
        <is>
          <t>Голова комісії</t>
        </is>
      </c>
    </row>
    <row r="28"/>
    <row r="29">
      <c r="C29" t="inlineStr">
        <is>
          <t>Члени комісії</t>
        </is>
      </c>
    </row>
    <row r="30"/>
    <row r="31"/>
    <row r="32"/>
    <row r="33"/>
    <row r="34"/>
  </sheetData>
  <mergeCells count="1">
    <mergeCell ref="A22:B22"/>
  </mergeCells>
  <pageMargins left="0.75" right="0.75" top="1" bottom="1" header="0.5" footer="0.5"/>
  <pageSetup orientation="landscape" scale="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2026-07-30T20:35:56Z</dcterms:created>
  <dcterms:modified xmlns:dcterms="http://purl.org/dc/terms/" xmlns:xsi="http://www.w3.org/2001/XMLSchema-instance" xsi:type="dcterms:W3CDTF">2026-07-30T20:36:51Z</dcterms:modified>
</cp:coreProperties>
</file>